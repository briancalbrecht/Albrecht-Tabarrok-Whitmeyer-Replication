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barro\Dropbox\Projects\Misallocation\Data\"/>
    </mc:Choice>
  </mc:AlternateContent>
  <xr:revisionPtr revIDLastSave="0" documentId="13_ncr:1_{490F8234-BC7A-4882-B7EE-20D118DC4643}" xr6:coauthVersionLast="47" xr6:coauthVersionMax="47" xr10:uidLastSave="{00000000-0000-0000-0000-000000000000}"/>
  <bookViews>
    <workbookView xWindow="3036" yWindow="3036" windowWidth="17280" windowHeight="10008" xr2:uid="{C96F8700-5717-4AB6-A1C8-688174B5FB6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1" l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<sst xmlns="http://schemas.openxmlformats.org/spreadsheetml/2006/main" count="58" uniqueCount="58">
  <si>
    <t>State</t>
  </si>
  <si>
    <t>Limiting Purchases</t>
  </si>
  <si>
    <t>Out of Fuel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</si>
  <si>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</si>
  <si>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</si>
  <si>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</si>
  <si>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</si>
  <si>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</si>
  <si>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</si>
  <si>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</si>
  <si>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</si>
  <si>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Delaware</t>
  </si>
  <si>
    <t>District of Columbia</t>
  </si>
  <si>
    <t>Maryland</t>
  </si>
  <si>
    <t>Pennsylvania</t>
  </si>
  <si>
    <t>Virginia</t>
  </si>
  <si>
    <t>West Virginia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</si>
  <si>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</si>
  <si>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</si>
  <si>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</si>
  <si>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</si>
  <si>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</si>
  <si>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</si>
  <si>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</si>
  <si>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Illinois</t>
  </si>
  <si>
    <t>Indiana</t>
  </si>
  <si>
    <t>Michigan</t>
  </si>
  <si>
    <t>Minnesota</t>
  </si>
  <si>
    <t>Ohio</t>
  </si>
  <si>
    <t>Wisconsin</t>
  </si>
  <si>
    <t>Arkansas</t>
  </si>
  <si>
    <t>Louisiana</t>
  </si>
  <si>
    <t>New Mexico</t>
  </si>
  <si>
    <t>Oklahoma</t>
  </si>
  <si>
    <t>Texas</t>
  </si>
  <si>
    <t>Iowa</t>
  </si>
  <si>
    <t>Kansas</t>
  </si>
  <si>
    <t>Missouri</t>
  </si>
  <si>
    <t>Colorado</t>
  </si>
  <si>
    <t>Montana</t>
  </si>
  <si>
    <t>North Dakota</t>
  </si>
  <si>
    <t>South Dakota</t>
  </si>
  <si>
    <t>Utah</t>
  </si>
  <si>
    <t>Wyoming</t>
  </si>
  <si>
    <t>Arizona</t>
  </si>
  <si>
    <t>Hawaii</t>
  </si>
  <si>
    <t>Nevada</t>
  </si>
  <si>
    <t>Washington</t>
  </si>
  <si>
    <t>California</t>
  </si>
  <si>
    <t>Idaho</t>
  </si>
  <si>
    <t>Oregon</t>
  </si>
  <si>
    <t>Nebraska</t>
  </si>
  <si>
    <t>Stations surveyed</t>
  </si>
  <si>
    <t>Gasoline Stations 1972</t>
  </si>
  <si>
    <t>% Limiting Purchases</t>
  </si>
  <si>
    <t>%  Out of Fuel</t>
  </si>
  <si>
    <t>Note -- interpreted as zeroes consistent with the report</t>
  </si>
  <si>
    <t xml:space="preserve">Note: Data Source:  AAA Fuel Guage Report II #5, Feb. 1974 as reported in Ford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</si>
</sst>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88A6-945E-4DF4-A1C1-AB6A7D9D82EF}">
  <dimension ref="A1:G55"/>
  <sheetViews>
    <sheetView tabSelected="1" topLeftCell="B1" workbookViewId="0">
      <selection activeCell="B55" sqref="B55"/>
    </sheetView>
  </sheetViews>
  <sheetFormatPr defaultRowHeight="14.4" x14ac:dyDescent="0.3"/>
  <cols>
    <col min="3" max="3" width="26.21875" customWidth="1"/>
    <col min="4" max="5" width="19.5546875" customWidth="1"/>
    <col min="6" max="6" width="22.5546875" customWidth="1"/>
  </cols>
  <sheetData>
    <row r="1" spans="1:7" x14ac:dyDescent="0.3">
      <c r="A1" t="s">
        <v>0</v>
      </c>
      <c r="B1" t="s">
        <v>53</v>
      </c>
      <c r="C1" t="s">
        <v>52</v>
      </c>
      <c r="D1" t="s">
        <v>1</v>
      </c>
      <c r="E1" t="s">
        <v>54</v>
      </c>
      <c r="F1" t="s">
        <v>2</v>
      </c>
      <c r="G1" t="s">
        <v>55</v>
      </c>
    </row>
    <row r="2" spans="1:7" x14ac:dyDescent="0.3">
      <c r="A2" t="s">
        <v>44</v>
      </c>
      <c r="B2">
        <v>2064</v>
      </c>
      <c r="C2">
        <v>107</v>
      </c>
      <c r="D2">
        <v>46</v>
      </c>
      <c r="E2">
        <f>D2/C2*100</f>
        <v>42.990654205607477</v>
      </c>
      <c r="F2">
        <v>7</v>
      </c>
      <c r="G2">
        <f>F2/C2*100</f>
        <v>6.5420560747663545</v>
      </c>
    </row>
    <row r="3" spans="1:7" x14ac:dyDescent="0.3">
      <c r="A3" t="s">
        <v>30</v>
      </c>
      <c r="B3">
        <v>2063</v>
      </c>
      <c r="C3">
        <v>23</v>
      </c>
      <c r="D3">
        <v>2</v>
      </c>
      <c r="E3">
        <f t="shared" ref="E3:E50" si="0">D3/C3*100</f>
        <v>8.695652173913043</v>
      </c>
      <c r="F3">
        <v>0</v>
      </c>
      <c r="G3">
        <f t="shared" ref="G3:G50" si="1">F3/C3*100</f>
        <v>0</v>
      </c>
    </row>
    <row r="4" spans="1:7" x14ac:dyDescent="0.3">
      <c r="A4" t="s">
        <v>48</v>
      </c>
      <c r="B4">
        <v>17534</v>
      </c>
      <c r="C4">
        <v>726</v>
      </c>
      <c r="D4">
        <v>206</v>
      </c>
      <c r="E4">
        <f t="shared" si="0"/>
        <v>28.374655647382919</v>
      </c>
      <c r="F4">
        <v>58</v>
      </c>
      <c r="G4">
        <f t="shared" si="1"/>
        <v>7.9889807162534439</v>
      </c>
    </row>
    <row r="5" spans="1:7" x14ac:dyDescent="0.3">
      <c r="A5" t="s">
        <v>38</v>
      </c>
      <c r="B5">
        <v>2604</v>
      </c>
      <c r="C5">
        <v>14</v>
      </c>
      <c r="D5">
        <v>2</v>
      </c>
      <c r="E5">
        <f t="shared" si="0"/>
        <v>14.285714285714285</v>
      </c>
      <c r="F5">
        <v>0</v>
      </c>
      <c r="G5">
        <f t="shared" si="1"/>
        <v>0</v>
      </c>
    </row>
    <row r="6" spans="1:7" x14ac:dyDescent="0.3">
      <c r="A6" t="s">
        <v>3</v>
      </c>
      <c r="B6">
        <v>2421</v>
      </c>
      <c r="C6">
        <v>88</v>
      </c>
      <c r="D6">
        <v>65</v>
      </c>
      <c r="E6">
        <f t="shared" si="0"/>
        <v>73.86363636363636</v>
      </c>
      <c r="F6">
        <v>16</v>
      </c>
      <c r="G6">
        <f t="shared" si="1"/>
        <v>18.181818181818183</v>
      </c>
    </row>
    <row r="7" spans="1:7" x14ac:dyDescent="0.3">
      <c r="A7" t="s">
        <v>11</v>
      </c>
      <c r="B7">
        <v>472</v>
      </c>
      <c r="C7">
        <v>47</v>
      </c>
      <c r="D7">
        <v>27</v>
      </c>
      <c r="E7">
        <f t="shared" si="0"/>
        <v>57.446808510638306</v>
      </c>
      <c r="F7">
        <v>4</v>
      </c>
      <c r="G7">
        <f t="shared" si="1"/>
        <v>8.5106382978723403</v>
      </c>
    </row>
    <row r="8" spans="1:7" x14ac:dyDescent="0.3">
      <c r="A8" t="s">
        <v>12</v>
      </c>
      <c r="B8">
        <v>304</v>
      </c>
      <c r="C8">
        <v>82</v>
      </c>
      <c r="D8">
        <v>33</v>
      </c>
      <c r="E8">
        <f t="shared" si="0"/>
        <v>40.243902439024396</v>
      </c>
      <c r="F8">
        <v>11</v>
      </c>
      <c r="G8">
        <f t="shared" si="1"/>
        <v>13.414634146341465</v>
      </c>
    </row>
    <row r="9" spans="1:7" x14ac:dyDescent="0.3">
      <c r="A9" t="s">
        <v>17</v>
      </c>
      <c r="B9">
        <v>7444</v>
      </c>
      <c r="C9">
        <v>270</v>
      </c>
      <c r="D9">
        <v>82</v>
      </c>
      <c r="E9">
        <f t="shared" si="0"/>
        <v>30.37037037037037</v>
      </c>
      <c r="F9">
        <v>44</v>
      </c>
      <c r="G9">
        <f t="shared" si="1"/>
        <v>16.296296296296298</v>
      </c>
    </row>
    <row r="10" spans="1:7" x14ac:dyDescent="0.3">
      <c r="A10" t="s">
        <v>18</v>
      </c>
      <c r="B10">
        <v>5046</v>
      </c>
      <c r="C10">
        <v>144</v>
      </c>
      <c r="D10">
        <v>21</v>
      </c>
      <c r="E10">
        <f t="shared" si="0"/>
        <v>14.583333333333334</v>
      </c>
      <c r="F10">
        <v>9</v>
      </c>
      <c r="G10">
        <f t="shared" si="1"/>
        <v>6.25</v>
      </c>
    </row>
    <row r="11" spans="1:7" x14ac:dyDescent="0.3">
      <c r="A11" t="s">
        <v>45</v>
      </c>
      <c r="B11">
        <v>427</v>
      </c>
      <c r="C11">
        <v>16</v>
      </c>
      <c r="D11">
        <v>0</v>
      </c>
      <c r="E11">
        <f t="shared" si="0"/>
        <v>0</v>
      </c>
      <c r="F11">
        <v>0</v>
      </c>
      <c r="G11">
        <f t="shared" si="1"/>
        <v>0</v>
      </c>
    </row>
    <row r="12" spans="1:7" x14ac:dyDescent="0.3">
      <c r="A12" t="s">
        <v>49</v>
      </c>
      <c r="B12">
        <v>936</v>
      </c>
      <c r="C12">
        <v>64</v>
      </c>
      <c r="D12">
        <v>0</v>
      </c>
      <c r="E12">
        <f t="shared" si="0"/>
        <v>0</v>
      </c>
      <c r="F12">
        <v>0</v>
      </c>
      <c r="G12">
        <f t="shared" si="1"/>
        <v>0</v>
      </c>
    </row>
    <row r="13" spans="1:7" x14ac:dyDescent="0.3">
      <c r="A13" t="s">
        <v>24</v>
      </c>
      <c r="B13">
        <v>8689</v>
      </c>
      <c r="C13">
        <v>79</v>
      </c>
      <c r="D13">
        <v>33</v>
      </c>
      <c r="E13">
        <f t="shared" si="0"/>
        <v>41.77215189873418</v>
      </c>
      <c r="F13">
        <v>6</v>
      </c>
      <c r="G13">
        <f t="shared" si="1"/>
        <v>7.59493670886076</v>
      </c>
    </row>
    <row r="14" spans="1:7" x14ac:dyDescent="0.3">
      <c r="A14" t="s">
        <v>25</v>
      </c>
      <c r="B14">
        <v>5145</v>
      </c>
      <c r="C14">
        <v>119</v>
      </c>
      <c r="D14">
        <v>4</v>
      </c>
      <c r="E14">
        <f t="shared" si="0"/>
        <v>3.3613445378151261</v>
      </c>
      <c r="F14">
        <v>0</v>
      </c>
      <c r="G14">
        <f t="shared" si="1"/>
        <v>0</v>
      </c>
    </row>
    <row r="15" spans="1:7" x14ac:dyDescent="0.3">
      <c r="A15" t="s">
        <v>35</v>
      </c>
      <c r="B15">
        <v>3626</v>
      </c>
      <c r="C15">
        <v>49</v>
      </c>
      <c r="D15">
        <v>4</v>
      </c>
      <c r="E15">
        <f t="shared" si="0"/>
        <v>8.1632653061224492</v>
      </c>
      <c r="F15">
        <v>0</v>
      </c>
      <c r="G15">
        <f t="shared" si="1"/>
        <v>0</v>
      </c>
    </row>
    <row r="16" spans="1:7" x14ac:dyDescent="0.3">
      <c r="A16" t="s">
        <v>36</v>
      </c>
      <c r="B16">
        <v>2851</v>
      </c>
      <c r="C16">
        <v>46</v>
      </c>
      <c r="D16">
        <v>13</v>
      </c>
      <c r="E16">
        <f t="shared" si="0"/>
        <v>28.260869565217391</v>
      </c>
      <c r="F16">
        <v>1</v>
      </c>
      <c r="G16">
        <f t="shared" si="1"/>
        <v>2.1739130434782608</v>
      </c>
    </row>
    <row r="17" spans="1:7" x14ac:dyDescent="0.3">
      <c r="A17" t="s">
        <v>19</v>
      </c>
      <c r="B17">
        <v>2994</v>
      </c>
      <c r="C17">
        <v>77</v>
      </c>
      <c r="D17">
        <v>17</v>
      </c>
      <c r="E17">
        <f t="shared" si="0"/>
        <v>22.077922077922079</v>
      </c>
      <c r="F17">
        <v>17</v>
      </c>
      <c r="G17">
        <f t="shared" si="1"/>
        <v>22.077922077922079</v>
      </c>
    </row>
    <row r="18" spans="1:7" x14ac:dyDescent="0.3">
      <c r="A18" t="s">
        <v>31</v>
      </c>
      <c r="B18">
        <v>3080</v>
      </c>
      <c r="C18">
        <v>66</v>
      </c>
      <c r="D18">
        <v>10</v>
      </c>
      <c r="E18">
        <f t="shared" si="0"/>
        <v>15.151515151515152</v>
      </c>
      <c r="F18">
        <v>2</v>
      </c>
      <c r="G18">
        <f t="shared" si="1"/>
        <v>3.0303030303030303</v>
      </c>
    </row>
    <row r="19" spans="1:7" x14ac:dyDescent="0.3">
      <c r="A19" t="s">
        <v>4</v>
      </c>
      <c r="B19">
        <v>986</v>
      </c>
      <c r="C19">
        <v>41</v>
      </c>
      <c r="D19">
        <v>25</v>
      </c>
      <c r="E19">
        <f t="shared" si="0"/>
        <v>60.975609756097562</v>
      </c>
      <c r="F19">
        <v>3</v>
      </c>
      <c r="G19">
        <f t="shared" si="1"/>
        <v>7.3170731707317067</v>
      </c>
    </row>
    <row r="20" spans="1:7" x14ac:dyDescent="0.3">
      <c r="A20" t="s">
        <v>13</v>
      </c>
      <c r="B20">
        <v>2622</v>
      </c>
      <c r="C20">
        <v>24</v>
      </c>
      <c r="D20">
        <v>7</v>
      </c>
      <c r="E20">
        <f t="shared" si="0"/>
        <v>29.166666666666668</v>
      </c>
      <c r="F20">
        <v>7</v>
      </c>
      <c r="G20">
        <f t="shared" si="1"/>
        <v>29.166666666666668</v>
      </c>
    </row>
    <row r="21" spans="1:7" x14ac:dyDescent="0.3">
      <c r="A21" t="s">
        <v>5</v>
      </c>
      <c r="B21">
        <v>3986</v>
      </c>
      <c r="C21">
        <v>60</v>
      </c>
      <c r="D21">
        <v>45</v>
      </c>
      <c r="E21">
        <f t="shared" si="0"/>
        <v>75</v>
      </c>
      <c r="F21">
        <v>10</v>
      </c>
      <c r="G21">
        <f t="shared" si="1"/>
        <v>16.666666666666664</v>
      </c>
    </row>
    <row r="22" spans="1:7" x14ac:dyDescent="0.3">
      <c r="A22" t="s">
        <v>26</v>
      </c>
      <c r="B22">
        <v>7588</v>
      </c>
      <c r="C22">
        <v>171</v>
      </c>
      <c r="D22">
        <v>21</v>
      </c>
      <c r="E22">
        <f t="shared" si="0"/>
        <v>12.280701754385964</v>
      </c>
      <c r="F22">
        <v>13</v>
      </c>
      <c r="G22">
        <f t="shared" si="1"/>
        <v>7.6023391812865491</v>
      </c>
    </row>
    <row r="23" spans="1:7" x14ac:dyDescent="0.3">
      <c r="A23" t="s">
        <v>27</v>
      </c>
      <c r="B23">
        <v>3787</v>
      </c>
      <c r="C23">
        <v>45</v>
      </c>
      <c r="D23">
        <v>5</v>
      </c>
      <c r="E23">
        <f t="shared" si="0"/>
        <v>11.111111111111111</v>
      </c>
      <c r="F23">
        <v>0</v>
      </c>
      <c r="G23">
        <f t="shared" si="1"/>
        <v>0</v>
      </c>
    </row>
    <row r="24" spans="1:7" x14ac:dyDescent="0.3">
      <c r="A24" t="s">
        <v>20</v>
      </c>
      <c r="B24">
        <v>2122</v>
      </c>
      <c r="C24">
        <v>35</v>
      </c>
      <c r="D24">
        <v>5</v>
      </c>
      <c r="E24">
        <f t="shared" si="0"/>
        <v>14.285714285714285</v>
      </c>
      <c r="F24">
        <v>1</v>
      </c>
      <c r="G24">
        <f t="shared" si="1"/>
        <v>2.8571428571428572</v>
      </c>
    </row>
    <row r="25" spans="1:7" x14ac:dyDescent="0.3">
      <c r="A25" t="s">
        <v>37</v>
      </c>
      <c r="B25">
        <v>4963</v>
      </c>
      <c r="C25">
        <v>44</v>
      </c>
      <c r="D25">
        <v>0</v>
      </c>
      <c r="E25">
        <f t="shared" si="0"/>
        <v>0</v>
      </c>
      <c r="F25">
        <v>1</v>
      </c>
      <c r="G25">
        <f t="shared" si="1"/>
        <v>2.2727272727272729</v>
      </c>
    </row>
    <row r="26" spans="1:7" x14ac:dyDescent="0.3">
      <c r="A26" t="s">
        <v>39</v>
      </c>
      <c r="B26">
        <v>912</v>
      </c>
      <c r="C26">
        <v>49</v>
      </c>
      <c r="D26">
        <v>0</v>
      </c>
      <c r="E26">
        <f t="shared" si="0"/>
        <v>0</v>
      </c>
      <c r="F26">
        <v>0</v>
      </c>
      <c r="G26">
        <f t="shared" si="1"/>
        <v>0</v>
      </c>
    </row>
    <row r="27" spans="1:7" x14ac:dyDescent="0.3">
      <c r="A27" t="s">
        <v>51</v>
      </c>
      <c r="B27">
        <v>1894</v>
      </c>
      <c r="C27">
        <v>50</v>
      </c>
      <c r="D27">
        <v>2</v>
      </c>
      <c r="E27">
        <f t="shared" si="0"/>
        <v>4</v>
      </c>
      <c r="F27">
        <v>1</v>
      </c>
      <c r="G27">
        <f t="shared" si="1"/>
        <v>2</v>
      </c>
    </row>
    <row r="28" spans="1:7" x14ac:dyDescent="0.3">
      <c r="A28" t="s">
        <v>46</v>
      </c>
      <c r="B28">
        <v>722</v>
      </c>
      <c r="C28">
        <v>20</v>
      </c>
      <c r="D28">
        <v>1</v>
      </c>
      <c r="E28">
        <f t="shared" si="0"/>
        <v>5</v>
      </c>
      <c r="F28">
        <v>0</v>
      </c>
      <c r="G28">
        <f t="shared" si="1"/>
        <v>0</v>
      </c>
    </row>
    <row r="29" spans="1:7" x14ac:dyDescent="0.3">
      <c r="A29" t="s">
        <v>6</v>
      </c>
      <c r="B29">
        <v>744</v>
      </c>
      <c r="C29">
        <v>46</v>
      </c>
      <c r="D29">
        <v>31</v>
      </c>
      <c r="E29">
        <f t="shared" si="0"/>
        <v>67.391304347826093</v>
      </c>
      <c r="F29">
        <v>5</v>
      </c>
      <c r="G29">
        <f t="shared" si="1"/>
        <v>10.869565217391305</v>
      </c>
    </row>
    <row r="30" spans="1:7" x14ac:dyDescent="0.3">
      <c r="A30" t="s">
        <v>9</v>
      </c>
      <c r="B30">
        <v>4664</v>
      </c>
      <c r="C30">
        <v>50</v>
      </c>
      <c r="D30">
        <v>31</v>
      </c>
      <c r="E30">
        <f t="shared" si="0"/>
        <v>62</v>
      </c>
      <c r="F30">
        <v>11</v>
      </c>
      <c r="G30">
        <f t="shared" si="1"/>
        <v>22</v>
      </c>
    </row>
    <row r="31" spans="1:7" x14ac:dyDescent="0.3">
      <c r="A31" t="s">
        <v>32</v>
      </c>
      <c r="B31">
        <v>1353</v>
      </c>
      <c r="C31">
        <v>40</v>
      </c>
      <c r="D31">
        <v>3</v>
      </c>
      <c r="E31">
        <f t="shared" si="0"/>
        <v>7.5</v>
      </c>
      <c r="F31">
        <v>3</v>
      </c>
      <c r="G31">
        <f t="shared" si="1"/>
        <v>7.5</v>
      </c>
    </row>
    <row r="32" spans="1:7" x14ac:dyDescent="0.3">
      <c r="A32" t="s">
        <v>10</v>
      </c>
      <c r="B32">
        <v>9247</v>
      </c>
      <c r="C32">
        <v>161</v>
      </c>
      <c r="D32">
        <v>77</v>
      </c>
      <c r="E32">
        <f t="shared" si="0"/>
        <v>47.826086956521742</v>
      </c>
      <c r="F32">
        <v>33</v>
      </c>
      <c r="G32">
        <f t="shared" si="1"/>
        <v>20.496894409937887</v>
      </c>
    </row>
    <row r="33" spans="1:7" x14ac:dyDescent="0.3">
      <c r="A33" t="s">
        <v>21</v>
      </c>
      <c r="B33">
        <v>4994</v>
      </c>
      <c r="C33">
        <v>213</v>
      </c>
      <c r="D33">
        <v>108</v>
      </c>
      <c r="E33">
        <f t="shared" si="0"/>
        <v>50.704225352112672</v>
      </c>
      <c r="F33">
        <v>43</v>
      </c>
      <c r="G33">
        <f t="shared" si="1"/>
        <v>20.187793427230048</v>
      </c>
    </row>
    <row r="34" spans="1:7" x14ac:dyDescent="0.3">
      <c r="A34" t="s">
        <v>40</v>
      </c>
      <c r="B34">
        <v>692</v>
      </c>
      <c r="C34">
        <v>121</v>
      </c>
      <c r="D34">
        <v>2</v>
      </c>
      <c r="E34">
        <f t="shared" si="0"/>
        <v>1.6528925619834711</v>
      </c>
      <c r="F34">
        <v>0</v>
      </c>
      <c r="G34">
        <f t="shared" si="1"/>
        <v>0</v>
      </c>
    </row>
    <row r="35" spans="1:7" x14ac:dyDescent="0.3">
      <c r="A35" t="s">
        <v>28</v>
      </c>
      <c r="B35">
        <v>9781</v>
      </c>
      <c r="C35">
        <v>231</v>
      </c>
      <c r="D35">
        <v>26</v>
      </c>
      <c r="E35">
        <f t="shared" si="0"/>
        <v>11.255411255411255</v>
      </c>
      <c r="F35">
        <v>25</v>
      </c>
      <c r="G35">
        <f t="shared" si="1"/>
        <v>10.822510822510822</v>
      </c>
    </row>
    <row r="36" spans="1:7" x14ac:dyDescent="0.3">
      <c r="A36" t="s">
        <v>33</v>
      </c>
      <c r="B36">
        <v>2892</v>
      </c>
      <c r="C36">
        <v>69</v>
      </c>
      <c r="D36">
        <v>21</v>
      </c>
      <c r="E36">
        <f t="shared" si="0"/>
        <v>30.434782608695656</v>
      </c>
      <c r="F36">
        <v>1</v>
      </c>
      <c r="G36">
        <f t="shared" si="1"/>
        <v>1.4492753623188406</v>
      </c>
    </row>
    <row r="37" spans="1:7" x14ac:dyDescent="0.3">
      <c r="A37" t="s">
        <v>50</v>
      </c>
      <c r="B37">
        <v>2370</v>
      </c>
      <c r="C37">
        <v>223</v>
      </c>
      <c r="D37">
        <v>68</v>
      </c>
      <c r="E37">
        <f t="shared" si="0"/>
        <v>30.493273542600896</v>
      </c>
      <c r="F37">
        <v>20</v>
      </c>
      <c r="G37">
        <f t="shared" si="1"/>
        <v>8.9686098654708513</v>
      </c>
    </row>
    <row r="38" spans="1:7" x14ac:dyDescent="0.3">
      <c r="A38" t="s">
        <v>14</v>
      </c>
      <c r="B38">
        <v>8645</v>
      </c>
      <c r="C38">
        <v>284</v>
      </c>
      <c r="D38">
        <v>75</v>
      </c>
      <c r="E38">
        <f t="shared" si="0"/>
        <v>26.408450704225352</v>
      </c>
      <c r="F38">
        <v>77</v>
      </c>
      <c r="G38">
        <f t="shared" si="1"/>
        <v>27.112676056338032</v>
      </c>
    </row>
    <row r="39" spans="1:7" x14ac:dyDescent="0.3">
      <c r="A39" t="s">
        <v>7</v>
      </c>
      <c r="B39">
        <v>700</v>
      </c>
      <c r="C39">
        <v>37</v>
      </c>
      <c r="D39">
        <v>28</v>
      </c>
      <c r="E39">
        <f t="shared" si="0"/>
        <v>75.675675675675677</v>
      </c>
      <c r="F39">
        <v>5</v>
      </c>
      <c r="G39">
        <f t="shared" si="1"/>
        <v>13.513513513513514</v>
      </c>
    </row>
    <row r="40" spans="1:7" x14ac:dyDescent="0.3">
      <c r="A40" t="s">
        <v>22</v>
      </c>
      <c r="B40">
        <v>2574</v>
      </c>
      <c r="C40">
        <v>80</v>
      </c>
      <c r="D40">
        <v>31</v>
      </c>
      <c r="E40">
        <f t="shared" si="0"/>
        <v>38.75</v>
      </c>
      <c r="F40">
        <v>6</v>
      </c>
      <c r="G40">
        <f t="shared" si="1"/>
        <v>7.5</v>
      </c>
    </row>
    <row r="41" spans="1:7" x14ac:dyDescent="0.3">
      <c r="A41" t="s">
        <v>41</v>
      </c>
      <c r="B41">
        <v>902</v>
      </c>
      <c r="C41">
        <v>56</v>
      </c>
      <c r="D41">
        <v>4</v>
      </c>
      <c r="E41">
        <f t="shared" si="0"/>
        <v>7.1428571428571423</v>
      </c>
      <c r="F41">
        <v>1</v>
      </c>
      <c r="G41">
        <f t="shared" si="1"/>
        <v>1.7857142857142856</v>
      </c>
    </row>
    <row r="42" spans="1:7" x14ac:dyDescent="0.3">
      <c r="A42" t="s">
        <v>23</v>
      </c>
      <c r="B42">
        <v>4052</v>
      </c>
      <c r="C42">
        <v>76</v>
      </c>
      <c r="D42">
        <v>16</v>
      </c>
      <c r="E42">
        <f t="shared" si="0"/>
        <v>21.052631578947366</v>
      </c>
      <c r="F42">
        <v>12</v>
      </c>
      <c r="G42">
        <f t="shared" si="1"/>
        <v>15.789473684210526</v>
      </c>
    </row>
    <row r="43" spans="1:7" x14ac:dyDescent="0.3">
      <c r="A43" t="s">
        <v>34</v>
      </c>
      <c r="B43">
        <v>13462</v>
      </c>
      <c r="C43">
        <v>314</v>
      </c>
      <c r="D43">
        <v>63</v>
      </c>
      <c r="E43">
        <f t="shared" si="0"/>
        <v>20.063694267515924</v>
      </c>
      <c r="F43">
        <v>20</v>
      </c>
      <c r="G43">
        <f t="shared" si="1"/>
        <v>6.369426751592357</v>
      </c>
    </row>
    <row r="44" spans="1:7" x14ac:dyDescent="0.3">
      <c r="A44" t="s">
        <v>42</v>
      </c>
      <c r="B44">
        <v>1329</v>
      </c>
      <c r="C44">
        <v>42</v>
      </c>
      <c r="D44">
        <v>0</v>
      </c>
      <c r="E44">
        <f t="shared" si="0"/>
        <v>0</v>
      </c>
      <c r="F44">
        <v>0</v>
      </c>
      <c r="G44">
        <f t="shared" si="1"/>
        <v>0</v>
      </c>
    </row>
    <row r="45" spans="1:7" x14ac:dyDescent="0.3">
      <c r="A45" t="s">
        <v>8</v>
      </c>
      <c r="B45">
        <v>472</v>
      </c>
      <c r="C45">
        <v>29</v>
      </c>
      <c r="D45">
        <v>21</v>
      </c>
      <c r="E45">
        <f t="shared" si="0"/>
        <v>72.41379310344827</v>
      </c>
      <c r="F45">
        <v>4</v>
      </c>
      <c r="G45">
        <f t="shared" si="1"/>
        <v>13.793103448275861</v>
      </c>
    </row>
    <row r="46" spans="1:7" x14ac:dyDescent="0.3">
      <c r="A46" t="s">
        <v>15</v>
      </c>
      <c r="B46">
        <v>3847</v>
      </c>
      <c r="C46">
        <v>98</v>
      </c>
      <c r="D46">
        <v>38</v>
      </c>
      <c r="E46">
        <f t="shared" si="0"/>
        <v>38.775510204081634</v>
      </c>
      <c r="F46">
        <v>5</v>
      </c>
      <c r="G46">
        <f t="shared" si="1"/>
        <v>5.1020408163265305</v>
      </c>
    </row>
    <row r="47" spans="1:7" x14ac:dyDescent="0.3">
      <c r="A47" t="s">
        <v>47</v>
      </c>
      <c r="B47">
        <v>3476</v>
      </c>
      <c r="C47">
        <v>105</v>
      </c>
      <c r="D47">
        <v>38</v>
      </c>
      <c r="E47">
        <f t="shared" si="0"/>
        <v>36.19047619047619</v>
      </c>
      <c r="F47">
        <v>7</v>
      </c>
      <c r="G47">
        <f t="shared" si="1"/>
        <v>6.666666666666667</v>
      </c>
    </row>
    <row r="48" spans="1:7" x14ac:dyDescent="0.3">
      <c r="A48" t="s">
        <v>16</v>
      </c>
      <c r="B48">
        <v>1632</v>
      </c>
      <c r="C48">
        <v>73</v>
      </c>
      <c r="D48">
        <v>17</v>
      </c>
      <c r="E48">
        <f t="shared" si="0"/>
        <v>23.287671232876711</v>
      </c>
      <c r="F48">
        <v>16</v>
      </c>
      <c r="G48">
        <f t="shared" si="1"/>
        <v>21.917808219178081</v>
      </c>
    </row>
    <row r="49" spans="1:7" x14ac:dyDescent="0.3">
      <c r="A49" t="s">
        <v>29</v>
      </c>
      <c r="B49">
        <v>4191</v>
      </c>
      <c r="C49">
        <v>75</v>
      </c>
      <c r="D49">
        <v>20</v>
      </c>
      <c r="E49">
        <f t="shared" si="0"/>
        <v>26.666666666666668</v>
      </c>
      <c r="F49">
        <v>1</v>
      </c>
      <c r="G49">
        <f t="shared" si="1"/>
        <v>1.3333333333333335</v>
      </c>
    </row>
    <row r="50" spans="1:7" x14ac:dyDescent="0.3">
      <c r="A50" t="s">
        <v>43</v>
      </c>
      <c r="B50">
        <v>636</v>
      </c>
      <c r="C50">
        <v>27</v>
      </c>
      <c r="D50">
        <v>0</v>
      </c>
      <c r="E50">
        <f t="shared" si="0"/>
        <v>0</v>
      </c>
      <c r="F50">
        <v>0</v>
      </c>
      <c r="G50">
        <f t="shared" si="1"/>
        <v>0</v>
      </c>
    </row>
    <row r="54" spans="1:7" x14ac:dyDescent="0.3">
      <c r="B54" t="s">
        <v>57</v>
      </c>
    </row>
    <row r="55" spans="1:7" x14ac:dyDescent="0.3">
      <c r="B55" t="s">
        <v>56</v>
      </c>
    </row>
  </sheetData>
  <sortState xmlns:xlrd2="http://schemas.microsoft.com/office/spreadsheetml/2017/richdata2" ref="A2:F5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 Tabarrok</dc:creator>
  <cp:lastModifiedBy>Alex T Tabarrok</cp:lastModifiedBy>
  <dcterms:created xsi:type="dcterms:W3CDTF">2025-03-27T17:34:23Z</dcterms:created>
  <dcterms:modified xsi:type="dcterms:W3CDTF">2026-01-10T18:20:14Z</dcterms:modified>
</cp:coreProperties>
</file>